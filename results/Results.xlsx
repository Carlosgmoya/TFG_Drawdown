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uanm\Desktop\Juanma\aa UMA\4º\TFG\"/>
    </mc:Choice>
  </mc:AlternateContent>
  <xr:revisionPtr revIDLastSave="0" documentId="13_ncr:1_{5BF0E6E2-E299-41B0-87B2-9C1981F3B62C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7" i="1" l="1"/>
  <c r="L108" i="1"/>
  <c r="F32" i="1"/>
  <c r="E32" i="1"/>
  <c r="D32" i="1"/>
  <c r="F27" i="1"/>
  <c r="E27" i="1"/>
  <c r="D27" i="1"/>
  <c r="F22" i="1"/>
  <c r="E22" i="1"/>
  <c r="D22" i="1"/>
  <c r="F17" i="1"/>
  <c r="E17" i="1"/>
  <c r="D17" i="1"/>
  <c r="F12" i="1"/>
  <c r="E12" i="1"/>
  <c r="D12" i="1"/>
  <c r="L12" i="1"/>
  <c r="K12" i="1"/>
  <c r="J12" i="1"/>
  <c r="L17" i="1"/>
  <c r="K17" i="1"/>
  <c r="J17" i="1"/>
  <c r="L22" i="1"/>
  <c r="K22" i="1"/>
  <c r="J22" i="1"/>
  <c r="L27" i="1"/>
  <c r="K27" i="1"/>
  <c r="J27" i="1"/>
  <c r="L32" i="1"/>
  <c r="K32" i="1"/>
  <c r="J32" i="1"/>
  <c r="F137" i="1"/>
  <c r="E137" i="1"/>
  <c r="F142" i="1"/>
  <c r="E142" i="1"/>
  <c r="D142" i="1"/>
  <c r="F147" i="1"/>
  <c r="E147" i="1"/>
  <c r="D147" i="1"/>
  <c r="F152" i="1"/>
  <c r="E152" i="1"/>
  <c r="D152" i="1"/>
  <c r="L152" i="1"/>
  <c r="K152" i="1"/>
  <c r="J152" i="1"/>
  <c r="L147" i="1"/>
  <c r="K147" i="1"/>
  <c r="J147" i="1"/>
  <c r="L142" i="1"/>
  <c r="K142" i="1"/>
  <c r="J142" i="1"/>
  <c r="L137" i="1"/>
  <c r="K137" i="1"/>
  <c r="J137" i="1"/>
  <c r="L132" i="1"/>
  <c r="K132" i="1"/>
  <c r="J132" i="1"/>
  <c r="F132" i="1"/>
  <c r="E132" i="1"/>
  <c r="D132" i="1"/>
  <c r="L103" i="1"/>
  <c r="K103" i="1"/>
  <c r="J103" i="1"/>
  <c r="K108" i="1"/>
  <c r="J108" i="1"/>
  <c r="L113" i="1"/>
  <c r="K113" i="1"/>
  <c r="J113" i="1"/>
  <c r="L118" i="1"/>
  <c r="K118" i="1"/>
  <c r="J118" i="1"/>
  <c r="L123" i="1"/>
  <c r="K123" i="1"/>
  <c r="J123" i="1"/>
  <c r="F123" i="1"/>
  <c r="E123" i="1"/>
  <c r="D123" i="1"/>
  <c r="F118" i="1"/>
  <c r="E118" i="1"/>
  <c r="D118" i="1"/>
  <c r="F113" i="1"/>
  <c r="E113" i="1"/>
  <c r="D113" i="1"/>
  <c r="F108" i="1"/>
  <c r="E108" i="1"/>
  <c r="D108" i="1"/>
  <c r="F103" i="1"/>
  <c r="E103" i="1"/>
  <c r="D103" i="1"/>
  <c r="F93" i="1"/>
  <c r="E93" i="1"/>
  <c r="D93" i="1"/>
  <c r="F88" i="1"/>
  <c r="E88" i="1"/>
  <c r="D88" i="1"/>
  <c r="L93" i="1"/>
  <c r="K93" i="1"/>
  <c r="J93" i="1"/>
  <c r="L88" i="1"/>
  <c r="K88" i="1"/>
  <c r="J88" i="1"/>
  <c r="L83" i="1"/>
  <c r="K83" i="1"/>
  <c r="J83" i="1"/>
  <c r="F83" i="1"/>
  <c r="E83" i="1"/>
  <c r="D83" i="1"/>
  <c r="F78" i="1"/>
  <c r="E78" i="1"/>
  <c r="D78" i="1"/>
  <c r="F73" i="1"/>
  <c r="E73" i="1"/>
  <c r="D73" i="1"/>
  <c r="L78" i="1"/>
  <c r="K78" i="1"/>
  <c r="J78" i="1"/>
  <c r="K73" i="1"/>
  <c r="L73" i="1"/>
  <c r="J73" i="1"/>
  <c r="F62" i="1"/>
  <c r="J62" i="1"/>
  <c r="K62" i="1"/>
  <c r="L62" i="1"/>
  <c r="L57" i="1"/>
  <c r="J57" i="1"/>
  <c r="J52" i="1"/>
  <c r="K52" i="1"/>
  <c r="L52" i="1"/>
  <c r="L47" i="1"/>
  <c r="J47" i="1"/>
  <c r="K47" i="1"/>
  <c r="L42" i="1"/>
  <c r="K42" i="1"/>
  <c r="J42" i="1"/>
  <c r="E62" i="1"/>
  <c r="D62" i="1"/>
  <c r="D57" i="1"/>
  <c r="E57" i="1"/>
  <c r="F57" i="1"/>
  <c r="F52" i="1"/>
  <c r="E52" i="1"/>
  <c r="D52" i="1"/>
  <c r="D47" i="1"/>
  <c r="E47" i="1"/>
  <c r="F47" i="1"/>
  <c r="F42" i="1"/>
  <c r="E42" i="1"/>
  <c r="K57" i="1"/>
  <c r="D42" i="1"/>
</calcChain>
</file>

<file path=xl/sharedStrings.xml><?xml version="1.0" encoding="utf-8"?>
<sst xmlns="http://schemas.openxmlformats.org/spreadsheetml/2006/main" count="165" uniqueCount="35">
  <si>
    <t>49 Industry</t>
  </si>
  <si>
    <t>NSGA2</t>
  </si>
  <si>
    <t>Time</t>
  </si>
  <si>
    <t>Hypervolume</t>
  </si>
  <si>
    <t>Share ratio</t>
  </si>
  <si>
    <t>SPEA2</t>
  </si>
  <si>
    <t>Media:</t>
  </si>
  <si>
    <t>NPGA2</t>
  </si>
  <si>
    <t>PESA</t>
  </si>
  <si>
    <t>eMOEA</t>
  </si>
  <si>
    <t>grid=10</t>
  </si>
  <si>
    <t>e=0.008244</t>
  </si>
  <si>
    <t>e=0.01145</t>
  </si>
  <si>
    <t>Japan_32_Portfolios</t>
  </si>
  <si>
    <t>North_America_25_Portfolios</t>
  </si>
  <si>
    <t>Hong Kong Hang Seng</t>
  </si>
  <si>
    <t>data1</t>
  </si>
  <si>
    <t>German Dax 100</t>
  </si>
  <si>
    <t>data2</t>
  </si>
  <si>
    <t>data3</t>
  </si>
  <si>
    <t>British FTSE 100</t>
  </si>
  <si>
    <t>US S&amp;P 100</t>
  </si>
  <si>
    <t>data4</t>
  </si>
  <si>
    <t>data5</t>
  </si>
  <si>
    <t>Japanese Nikkei 225</t>
  </si>
  <si>
    <t>e=0.00916</t>
  </si>
  <si>
    <t>e=0.016946</t>
  </si>
  <si>
    <t>e=0.012137</t>
  </si>
  <si>
    <t>e=0.01603</t>
  </si>
  <si>
    <t>e=0.012595</t>
  </si>
  <si>
    <t>e=0.016488</t>
  </si>
  <si>
    <t>e=0.016259</t>
  </si>
  <si>
    <t>e=0.008015</t>
  </si>
  <si>
    <t>100portfolios_FS_BM</t>
  </si>
  <si>
    <t>100portfolios_FS_OP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</si>
</sst>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#,##0.000_ ;\-#,##0.0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Aptos"/>
      <family val="2"/>
    </font>
    <font>
      <sz val="9"/>
      <color rgb="FFB5CEA8"/>
      <name val="Consolas"/>
      <family val="3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165" fontId="3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152"/>
  <sheetViews>
    <sheetView tabSelected="1" workbookViewId="0">
      <selection activeCell="H6" sqref="H6"/>
    </sheetView>
  </sheetViews>
  <sheetFormatPr baseColWidth="10" defaultColWidth="8.88671875" defaultRowHeight="15.05" x14ac:dyDescent="0.3"/>
  <cols>
    <col min="1" max="1" width="10.88671875" customWidth="1"/>
    <col min="2" max="2" width="25.44140625" customWidth="1"/>
    <col min="3" max="3" width="14.44140625" customWidth="1"/>
    <col min="4" max="5" width="13.88671875" customWidth="1"/>
    <col min="6" max="6" width="10.44140625" customWidth="1"/>
    <col min="7" max="7" width="15.109375" customWidth="1"/>
    <col min="8" max="8" width="27.21875" customWidth="1"/>
    <col min="9" max="9" width="10.77734375" customWidth="1"/>
    <col min="10" max="10" width="11.6640625" customWidth="1"/>
    <col min="11" max="11" width="14" customWidth="1"/>
    <col min="12" max="12" width="11.21875" customWidth="1"/>
    <col min="13" max="13" width="12.77734375" customWidth="1"/>
  </cols>
  <sheetData>
    <row r="5" spans="2:12" x14ac:dyDescent="0.3">
      <c r="B5" s="5" t="s">
        <v>0</v>
      </c>
      <c r="H5" s="4" t="s">
        <v>33</v>
      </c>
      <c r="I5" s="1"/>
      <c r="J5" s="1"/>
      <c r="K5" s="1"/>
      <c r="L5" s="1"/>
    </row>
    <row r="6" spans="2:12" x14ac:dyDescent="0.3">
      <c r="H6" s="1"/>
      <c r="I6" s="1"/>
      <c r="J6" s="1"/>
      <c r="K6" s="1"/>
      <c r="L6" s="1"/>
    </row>
    <row r="7" spans="2:12" x14ac:dyDescent="0.3">
      <c r="D7" s="4" t="s">
        <v>2</v>
      </c>
      <c r="E7" s="4" t="s">
        <v>3</v>
      </c>
      <c r="F7" s="4" t="s">
        <v>4</v>
      </c>
      <c r="H7" s="1"/>
      <c r="I7" s="1"/>
      <c r="J7" s="4" t="s">
        <v>2</v>
      </c>
      <c r="K7" s="4" t="s">
        <v>3</v>
      </c>
      <c r="L7" s="4" t="s">
        <v>4</v>
      </c>
    </row>
    <row r="8" spans="2:12" x14ac:dyDescent="0.3">
      <c r="H8" s="1"/>
      <c r="I8" s="1"/>
      <c r="J8" s="1"/>
      <c r="K8" s="1"/>
      <c r="L8" s="1"/>
    </row>
    <row r="9" spans="2:12" x14ac:dyDescent="0.3">
      <c r="C9" s="4" t="s">
        <v>1</v>
      </c>
      <c r="D9" s="2">
        <v>223.80199999999999</v>
      </c>
      <c r="E9" s="2">
        <v>0.79</v>
      </c>
      <c r="F9" s="3">
        <v>4.0190000000000001</v>
      </c>
      <c r="H9" s="1"/>
      <c r="I9" s="4" t="s">
        <v>1</v>
      </c>
      <c r="J9" s="1">
        <v>229.47800000000001</v>
      </c>
      <c r="K9" s="1">
        <v>0.78800000000000003</v>
      </c>
      <c r="L9" s="1">
        <v>4.3630000000000004</v>
      </c>
    </row>
    <row r="10" spans="2:12" x14ac:dyDescent="0.3">
      <c r="C10" s="1"/>
      <c r="D10" s="2">
        <v>227.32400000000001</v>
      </c>
      <c r="E10" s="2">
        <v>0.8</v>
      </c>
      <c r="F10" s="3">
        <v>4.0419999999999998</v>
      </c>
      <c r="H10" s="1"/>
      <c r="I10" s="1"/>
      <c r="J10" s="1">
        <v>224.749</v>
      </c>
      <c r="K10" s="1">
        <v>0.79200000000000004</v>
      </c>
      <c r="L10" s="1">
        <v>4.3380000000000001</v>
      </c>
    </row>
    <row r="11" spans="2:12" x14ac:dyDescent="0.3">
      <c r="C11" s="1"/>
      <c r="D11" s="3">
        <v>219.477</v>
      </c>
      <c r="E11" s="2">
        <v>0.78100000000000003</v>
      </c>
      <c r="F11" s="2">
        <v>3.9910000000000001</v>
      </c>
      <c r="H11" s="1"/>
      <c r="I11" s="1"/>
      <c r="J11" s="1">
        <v>223.91499999999999</v>
      </c>
      <c r="K11" s="1">
        <v>0.78900000000000003</v>
      </c>
      <c r="L11" s="1">
        <v>4.38</v>
      </c>
    </row>
    <row r="12" spans="2:12" x14ac:dyDescent="0.3">
      <c r="C12" s="6" t="s">
        <v>6</v>
      </c>
      <c r="D12" s="10">
        <f>AVERAGE(D9:D11)</f>
        <v>223.53433333333331</v>
      </c>
      <c r="E12" s="10">
        <f>AVERAGE(E9:E11)</f>
        <v>0.79033333333333333</v>
      </c>
      <c r="F12" s="10">
        <f>AVERAGE(F9:F11)</f>
        <v>4.0173333333333332</v>
      </c>
      <c r="H12" s="1"/>
      <c r="I12" s="6" t="s">
        <v>6</v>
      </c>
      <c r="J12" s="10">
        <f>AVERAGE(J9:J11)</f>
        <v>226.04733333333331</v>
      </c>
      <c r="K12" s="10">
        <f>AVERAGE(K9:K11)</f>
        <v>0.78966666666666674</v>
      </c>
      <c r="L12" s="10">
        <f>AVERAGE(L9:L11)</f>
        <v>4.3603333333333332</v>
      </c>
    </row>
    <row r="13" spans="2:12" x14ac:dyDescent="0.3">
      <c r="C13" s="1"/>
      <c r="D13" s="1"/>
      <c r="E13" s="1"/>
      <c r="F13" s="1"/>
      <c r="H13" s="1"/>
      <c r="I13" s="1"/>
      <c r="J13" s="1"/>
      <c r="K13" s="1"/>
      <c r="L13" s="1"/>
    </row>
    <row r="14" spans="2:12" x14ac:dyDescent="0.3">
      <c r="C14" s="4" t="s">
        <v>5</v>
      </c>
      <c r="D14" s="1">
        <v>323.95499999999998</v>
      </c>
      <c r="E14" s="1">
        <v>0.74399999999999999</v>
      </c>
      <c r="F14" s="1">
        <v>3.766</v>
      </c>
      <c r="H14" s="1"/>
      <c r="I14" s="4" t="s">
        <v>5</v>
      </c>
      <c r="J14" s="1">
        <v>340.32499999999999</v>
      </c>
      <c r="K14" s="1">
        <v>0.69199999999999995</v>
      </c>
      <c r="L14" s="1">
        <v>4.6849999999999996</v>
      </c>
    </row>
    <row r="15" spans="2:12" x14ac:dyDescent="0.3">
      <c r="C15" s="1"/>
      <c r="D15" s="1">
        <v>335.80500000000001</v>
      </c>
      <c r="E15" s="1">
        <v>0.76400000000000001</v>
      </c>
      <c r="F15" s="1">
        <v>3.9969999999999999</v>
      </c>
      <c r="H15" s="1"/>
      <c r="I15" s="1"/>
      <c r="J15" s="1">
        <v>324.62799999999999</v>
      </c>
      <c r="K15" s="1">
        <v>0.68400000000000005</v>
      </c>
      <c r="L15" s="1">
        <v>4.6609999999999996</v>
      </c>
    </row>
    <row r="16" spans="2:12" x14ac:dyDescent="0.3">
      <c r="B16" s="1"/>
      <c r="D16" s="1">
        <v>339.714</v>
      </c>
      <c r="E16" s="1">
        <v>0.752</v>
      </c>
      <c r="F16" s="1">
        <v>3.7759999999999998</v>
      </c>
      <c r="H16" s="1"/>
      <c r="I16" s="1"/>
      <c r="J16" s="1">
        <v>321.03500000000003</v>
      </c>
      <c r="K16" s="1">
        <v>0.70499999999999996</v>
      </c>
      <c r="L16" s="1">
        <v>4.6760000000000002</v>
      </c>
    </row>
    <row r="17" spans="2:13" x14ac:dyDescent="0.3">
      <c r="B17" s="1"/>
      <c r="C17" s="6" t="s">
        <v>6</v>
      </c>
      <c r="D17" s="10">
        <f>AVERAGE(D14:D16)</f>
        <v>333.15799999999996</v>
      </c>
      <c r="E17" s="10">
        <f>AVERAGE(E14:E16)</f>
        <v>0.7533333333333333</v>
      </c>
      <c r="F17" s="10">
        <f>AVERAGE(F14:F16)</f>
        <v>3.8463333333333334</v>
      </c>
      <c r="H17" s="1"/>
      <c r="I17" s="6" t="s">
        <v>6</v>
      </c>
      <c r="J17" s="10">
        <f>AVERAGE(J14:J16)</f>
        <v>328.66266666666667</v>
      </c>
      <c r="K17" s="10">
        <f>AVERAGE(K14:K16)</f>
        <v>0.69366666666666665</v>
      </c>
      <c r="L17" s="10">
        <f>AVERAGE(L14:L16)</f>
        <v>4.6740000000000004</v>
      </c>
    </row>
    <row r="18" spans="2:13" x14ac:dyDescent="0.3">
      <c r="B18" s="1"/>
      <c r="C18" s="1"/>
      <c r="D18" s="1"/>
      <c r="E18" s="1"/>
      <c r="F18" s="1"/>
      <c r="H18" s="1"/>
      <c r="I18" s="1"/>
      <c r="J18" s="1"/>
      <c r="K18" s="1"/>
      <c r="L18" s="1"/>
    </row>
    <row r="19" spans="2:13" x14ac:dyDescent="0.3">
      <c r="B19" s="1"/>
      <c r="C19" s="4" t="s">
        <v>7</v>
      </c>
      <c r="D19" s="1">
        <v>142.50299999999999</v>
      </c>
      <c r="E19" s="1">
        <v>0.78400000000000003</v>
      </c>
      <c r="F19" s="1">
        <v>3.7280000000000002</v>
      </c>
      <c r="H19" s="1"/>
      <c r="I19" s="4" t="s">
        <v>7</v>
      </c>
      <c r="J19" s="1">
        <v>142.434</v>
      </c>
      <c r="K19" s="1">
        <v>0.78</v>
      </c>
      <c r="L19" s="1">
        <v>4.3049999999999997</v>
      </c>
    </row>
    <row r="20" spans="2:13" x14ac:dyDescent="0.3">
      <c r="B20" s="1"/>
      <c r="C20" s="1"/>
      <c r="D20" s="1">
        <v>144.505</v>
      </c>
      <c r="E20" s="1">
        <v>0.77900000000000003</v>
      </c>
      <c r="F20" s="1">
        <v>4.05</v>
      </c>
      <c r="H20" s="1"/>
      <c r="I20" s="1"/>
      <c r="J20" s="1">
        <v>139.941</v>
      </c>
      <c r="K20" s="1">
        <v>0.77500000000000002</v>
      </c>
      <c r="L20" s="1">
        <v>4.3819999999999997</v>
      </c>
    </row>
    <row r="21" spans="2:13" x14ac:dyDescent="0.3">
      <c r="D21" s="1">
        <v>142.227</v>
      </c>
      <c r="E21" s="1">
        <v>0.78</v>
      </c>
      <c r="F21" s="1">
        <v>3.64</v>
      </c>
      <c r="H21" s="1"/>
      <c r="I21" s="1"/>
      <c r="J21" s="1">
        <v>139.941</v>
      </c>
      <c r="K21" s="1">
        <v>0.77500000000000002</v>
      </c>
      <c r="L21" s="1">
        <v>4.3819999999999997</v>
      </c>
    </row>
    <row r="22" spans="2:13" x14ac:dyDescent="0.3">
      <c r="C22" s="6" t="s">
        <v>6</v>
      </c>
      <c r="D22" s="10">
        <f>AVERAGE(D19:D21)</f>
        <v>143.07833333333335</v>
      </c>
      <c r="E22" s="10">
        <f>AVERAGE(E19:E21)</f>
        <v>0.78100000000000003</v>
      </c>
      <c r="F22" s="10">
        <f>AVERAGE(F19:F21)</f>
        <v>3.8060000000000005</v>
      </c>
      <c r="H22" s="1"/>
      <c r="I22" s="6" t="s">
        <v>6</v>
      </c>
      <c r="J22" s="10">
        <f>AVERAGE(J19:J21)</f>
        <v>140.77200000000002</v>
      </c>
      <c r="K22" s="10">
        <f>AVERAGE(K19:K21)</f>
        <v>0.77666666666666673</v>
      </c>
      <c r="L22" s="10">
        <f>AVERAGE(L19:L21)</f>
        <v>4.3563333333333327</v>
      </c>
    </row>
    <row r="23" spans="2:13" x14ac:dyDescent="0.3">
      <c r="D23" s="1"/>
      <c r="E23" s="1"/>
      <c r="F23" s="1"/>
      <c r="H23" s="1"/>
      <c r="I23" s="1"/>
      <c r="J23" s="1"/>
      <c r="K23" s="1"/>
      <c r="L23" s="1"/>
    </row>
    <row r="24" spans="2:13" x14ac:dyDescent="0.3">
      <c r="C24" s="4" t="s">
        <v>8</v>
      </c>
      <c r="D24" s="1">
        <v>72.534999999999997</v>
      </c>
      <c r="E24" s="1">
        <v>0.77400000000000002</v>
      </c>
      <c r="F24" s="1">
        <v>3.8740000000000001</v>
      </c>
      <c r="G24" t="s">
        <v>10</v>
      </c>
      <c r="H24" s="1"/>
      <c r="I24" s="4" t="s">
        <v>8</v>
      </c>
      <c r="J24" s="1">
        <v>75.135999999999996</v>
      </c>
      <c r="K24" s="1">
        <v>0.755</v>
      </c>
      <c r="L24" s="1">
        <v>4.33</v>
      </c>
      <c r="M24" t="s">
        <v>10</v>
      </c>
    </row>
    <row r="25" spans="2:13" x14ac:dyDescent="0.3">
      <c r="D25" s="1">
        <v>69.981999999999999</v>
      </c>
      <c r="E25" s="1">
        <v>0.77300000000000002</v>
      </c>
      <c r="F25" s="1">
        <v>3.95</v>
      </c>
      <c r="H25" s="1"/>
      <c r="I25" s="1"/>
      <c r="J25" s="1">
        <v>75.153999999999996</v>
      </c>
      <c r="K25" s="1">
        <v>0.77300000000000002</v>
      </c>
      <c r="L25" s="1">
        <v>4.2789999999999999</v>
      </c>
    </row>
    <row r="26" spans="2:13" x14ac:dyDescent="0.3">
      <c r="D26" s="1">
        <v>73.016999999999996</v>
      </c>
      <c r="E26" s="1">
        <v>0.78800000000000003</v>
      </c>
      <c r="F26" s="1">
        <v>3.9849999999999999</v>
      </c>
      <c r="H26" s="1"/>
      <c r="I26" s="1"/>
      <c r="J26" s="1">
        <v>68.980999999999995</v>
      </c>
      <c r="K26" s="1">
        <v>0.72199999999999998</v>
      </c>
      <c r="L26" s="1">
        <v>4.468</v>
      </c>
    </row>
    <row r="27" spans="2:13" x14ac:dyDescent="0.3">
      <c r="C27" s="6" t="s">
        <v>6</v>
      </c>
      <c r="D27" s="10">
        <f>AVERAGE(D24:D26)</f>
        <v>71.844666666666669</v>
      </c>
      <c r="E27" s="10">
        <f>AVERAGE(E24:E26)</f>
        <v>0.77833333333333332</v>
      </c>
      <c r="F27" s="10">
        <f>AVERAGE(F24:F26)</f>
        <v>3.9363333333333332</v>
      </c>
      <c r="H27" s="1"/>
      <c r="I27" s="6" t="s">
        <v>6</v>
      </c>
      <c r="J27" s="10">
        <f>AVERAGE(J24:J26)</f>
        <v>73.090333333333334</v>
      </c>
      <c r="K27" s="10">
        <f>AVERAGE(K24:K26)</f>
        <v>0.75</v>
      </c>
      <c r="L27" s="10">
        <f>AVERAGE(L24:L26)</f>
        <v>4.359</v>
      </c>
    </row>
    <row r="28" spans="2:13" x14ac:dyDescent="0.3">
      <c r="D28" s="1"/>
      <c r="E28" s="1"/>
      <c r="F28" s="1"/>
      <c r="H28" s="1"/>
      <c r="I28" s="1"/>
      <c r="J28" s="1"/>
      <c r="K28" s="1"/>
      <c r="L28" s="1"/>
    </row>
    <row r="29" spans="2:13" x14ac:dyDescent="0.3">
      <c r="C29" s="4" t="s">
        <v>9</v>
      </c>
      <c r="D29" s="1">
        <v>106.46599999999999</v>
      </c>
      <c r="E29" s="1">
        <v>0.78800000000000003</v>
      </c>
      <c r="F29" s="1">
        <v>4.109</v>
      </c>
      <c r="G29" t="s">
        <v>11</v>
      </c>
      <c r="H29" s="1"/>
      <c r="I29" s="4" t="s">
        <v>9</v>
      </c>
      <c r="J29" s="1">
        <v>63.363</v>
      </c>
      <c r="K29" s="1">
        <v>0.79300000000000004</v>
      </c>
      <c r="L29" s="1">
        <v>4.3310000000000004</v>
      </c>
      <c r="M29" t="s">
        <v>12</v>
      </c>
    </row>
    <row r="30" spans="2:13" x14ac:dyDescent="0.3">
      <c r="D30" s="1">
        <v>105.062</v>
      </c>
      <c r="E30" s="1">
        <v>0.77700000000000002</v>
      </c>
      <c r="F30" s="1">
        <v>3.9279999999999999</v>
      </c>
      <c r="H30" s="1"/>
      <c r="I30" s="1"/>
      <c r="J30" s="1">
        <v>61.808999999999997</v>
      </c>
      <c r="K30" s="1">
        <v>0.79</v>
      </c>
      <c r="L30" s="1">
        <v>4.3600000000000003</v>
      </c>
    </row>
    <row r="31" spans="2:13" x14ac:dyDescent="0.3">
      <c r="D31" s="1">
        <v>87.486999999999995</v>
      </c>
      <c r="E31" s="1">
        <v>0.79700000000000004</v>
      </c>
      <c r="F31" s="1">
        <v>4.0449999999999999</v>
      </c>
      <c r="H31" s="1"/>
      <c r="I31" s="1"/>
      <c r="J31" s="1">
        <v>69.332999999999998</v>
      </c>
      <c r="K31" s="1">
        <v>0.79200000000000004</v>
      </c>
      <c r="L31" s="1">
        <v>4.3840000000000003</v>
      </c>
    </row>
    <row r="32" spans="2:13" x14ac:dyDescent="0.3">
      <c r="C32" s="6" t="s">
        <v>6</v>
      </c>
      <c r="D32" s="10">
        <f>AVERAGE(D29:D31)</f>
        <v>99.671666666666667</v>
      </c>
      <c r="E32" s="10">
        <f>AVERAGE(E29:E31)</f>
        <v>0.78733333333333333</v>
      </c>
      <c r="F32" s="10">
        <f>AVERAGE(F29:F31)</f>
        <v>4.027333333333333</v>
      </c>
      <c r="H32" s="1"/>
      <c r="I32" s="6" t="s">
        <v>6</v>
      </c>
      <c r="J32" s="10">
        <f>AVERAGE(J29:J31)</f>
        <v>64.834999999999994</v>
      </c>
      <c r="K32" s="10">
        <f>AVERAGE(K29:K31)</f>
        <v>0.79166666666666663</v>
      </c>
      <c r="L32" s="10">
        <f>AVERAGE(L29:L31)</f>
        <v>4.3583333333333334</v>
      </c>
    </row>
    <row r="33" spans="2:12" x14ac:dyDescent="0.3">
      <c r="D33" s="1"/>
      <c r="E33" s="1"/>
      <c r="F33" s="1"/>
      <c r="H33" s="1"/>
      <c r="I33" s="1"/>
      <c r="J33" s="1"/>
      <c r="K33" s="1"/>
      <c r="L33" s="1"/>
    </row>
    <row r="35" spans="2:12" x14ac:dyDescent="0.3">
      <c r="B35" s="5" t="s">
        <v>34</v>
      </c>
      <c r="H35" s="5" t="s">
        <v>13</v>
      </c>
    </row>
    <row r="37" spans="2:12" x14ac:dyDescent="0.3">
      <c r="D37" s="4" t="s">
        <v>2</v>
      </c>
      <c r="E37" s="4" t="s">
        <v>3</v>
      </c>
      <c r="F37" s="4" t="s">
        <v>4</v>
      </c>
      <c r="J37" s="4" t="s">
        <v>2</v>
      </c>
      <c r="K37" s="4" t="s">
        <v>3</v>
      </c>
      <c r="L37" s="4" t="s">
        <v>4</v>
      </c>
    </row>
    <row r="39" spans="2:12" x14ac:dyDescent="0.3">
      <c r="C39" s="4" t="s">
        <v>1</v>
      </c>
      <c r="D39" s="2">
        <v>431.86399999999998</v>
      </c>
      <c r="E39" s="2">
        <v>0.78200000000000003</v>
      </c>
      <c r="F39" s="3">
        <v>5.3460000000000001</v>
      </c>
      <c r="I39" s="4" t="s">
        <v>1</v>
      </c>
      <c r="J39" s="1">
        <v>215.40700000000001</v>
      </c>
      <c r="K39" s="1">
        <v>0.69099999999999995</v>
      </c>
      <c r="L39" s="1">
        <v>1.86</v>
      </c>
    </row>
    <row r="40" spans="2:12" x14ac:dyDescent="0.3">
      <c r="C40" s="1"/>
      <c r="D40" s="2">
        <v>428.584</v>
      </c>
      <c r="E40" s="2">
        <v>0.78600000000000003</v>
      </c>
      <c r="F40" s="3">
        <v>5.3760000000000003</v>
      </c>
      <c r="I40" s="1"/>
      <c r="J40" s="2">
        <v>217.417</v>
      </c>
      <c r="K40" s="2">
        <v>0.68700000000000006</v>
      </c>
      <c r="L40" s="3">
        <v>1.8620000000000001</v>
      </c>
    </row>
    <row r="41" spans="2:12" x14ac:dyDescent="0.3">
      <c r="C41" s="1"/>
      <c r="D41" s="3">
        <v>460.76299999999998</v>
      </c>
      <c r="E41" s="2">
        <v>0.76400000000000001</v>
      </c>
      <c r="F41" s="2">
        <v>5.2560000000000002</v>
      </c>
      <c r="I41" s="1"/>
      <c r="J41" s="3">
        <v>226.58</v>
      </c>
      <c r="K41" s="8">
        <v>0.68500000000000005</v>
      </c>
      <c r="L41" s="2">
        <v>1.863</v>
      </c>
    </row>
    <row r="42" spans="2:12" x14ac:dyDescent="0.3">
      <c r="C42" s="6" t="s">
        <v>6</v>
      </c>
      <c r="D42" s="10">
        <f>AVERAGE(D39:D41)</f>
        <v>440.40366666666665</v>
      </c>
      <c r="E42" s="10">
        <f>AVERAGE(E39:E41)</f>
        <v>0.77733333333333332</v>
      </c>
      <c r="F42" s="10">
        <f>AVERAGE(F39:F41)</f>
        <v>5.3260000000000005</v>
      </c>
      <c r="I42" s="6" t="s">
        <v>6</v>
      </c>
      <c r="J42" s="10">
        <f>AVERAGE(J39:J41)</f>
        <v>219.80133333333333</v>
      </c>
      <c r="K42" s="10">
        <f>AVERAGE(K39:K41)</f>
        <v>0.68766666666666676</v>
      </c>
      <c r="L42" s="10">
        <f>AVERAGE(L39:L41)</f>
        <v>1.861666666666667</v>
      </c>
    </row>
    <row r="43" spans="2:12" x14ac:dyDescent="0.3">
      <c r="C43" s="1"/>
      <c r="D43" s="1"/>
      <c r="E43" s="1"/>
      <c r="F43" s="1"/>
      <c r="I43" s="1"/>
      <c r="J43" s="1"/>
      <c r="K43" s="1"/>
      <c r="L43" s="1"/>
    </row>
    <row r="44" spans="2:12" x14ac:dyDescent="0.3">
      <c r="C44" s="4" t="s">
        <v>5</v>
      </c>
      <c r="D44" s="1">
        <v>416.53300000000002</v>
      </c>
      <c r="E44" s="1">
        <v>0.67100000000000004</v>
      </c>
      <c r="F44" s="1">
        <v>6.6539999999999999</v>
      </c>
      <c r="I44" s="4" t="s">
        <v>5</v>
      </c>
      <c r="J44" s="1">
        <v>340.84300000000002</v>
      </c>
      <c r="K44" s="1">
        <v>0.66200000000000003</v>
      </c>
      <c r="L44" s="1">
        <v>1.903</v>
      </c>
    </row>
    <row r="45" spans="2:12" x14ac:dyDescent="0.3">
      <c r="C45" s="1"/>
      <c r="D45" s="1">
        <v>410.22699999999998</v>
      </c>
      <c r="E45" s="1">
        <v>0.68500000000000005</v>
      </c>
      <c r="F45" s="1">
        <v>6.2030000000000003</v>
      </c>
      <c r="I45" s="1"/>
      <c r="J45" s="1">
        <v>341.89400000000001</v>
      </c>
      <c r="K45" s="1">
        <v>0.66500000000000004</v>
      </c>
      <c r="L45" s="1">
        <v>1.8979999999999999</v>
      </c>
    </row>
    <row r="46" spans="2:12" x14ac:dyDescent="0.3">
      <c r="D46" s="1">
        <v>429.64</v>
      </c>
      <c r="E46" s="1">
        <v>0.63700000000000001</v>
      </c>
      <c r="F46" s="1">
        <v>6.0430000000000001</v>
      </c>
      <c r="J46" s="1">
        <v>336.60199999999998</v>
      </c>
      <c r="K46" s="1">
        <v>0.65100000000000002</v>
      </c>
      <c r="L46" s="1">
        <v>1.905</v>
      </c>
    </row>
    <row r="47" spans="2:12" x14ac:dyDescent="0.3">
      <c r="C47" s="6" t="s">
        <v>6</v>
      </c>
      <c r="D47" s="10">
        <f>AVERAGE(D44:D46)</f>
        <v>418.8</v>
      </c>
      <c r="E47" s="10">
        <f>AVERAGE(E44:E46)</f>
        <v>0.66433333333333333</v>
      </c>
      <c r="F47" s="10">
        <f>AVERAGE(F44:F46)</f>
        <v>6.3</v>
      </c>
      <c r="I47" s="6" t="s">
        <v>6</v>
      </c>
      <c r="J47" s="10">
        <f>AVERAGE(J44:J46)</f>
        <v>339.77966666666669</v>
      </c>
      <c r="K47" s="10">
        <f>AVERAGE(K44:K46)</f>
        <v>0.65933333333333333</v>
      </c>
      <c r="L47" s="10">
        <f>AVERAGE(L44:L46)</f>
        <v>1.9020000000000001</v>
      </c>
    </row>
    <row r="48" spans="2:12" x14ac:dyDescent="0.3">
      <c r="C48" s="1"/>
      <c r="D48" s="1"/>
      <c r="E48" s="1"/>
      <c r="F48" s="1"/>
      <c r="I48" s="1"/>
      <c r="J48" s="1"/>
      <c r="K48" s="1"/>
      <c r="L48" s="1"/>
    </row>
    <row r="49" spans="3:13" x14ac:dyDescent="0.3">
      <c r="C49" s="4" t="s">
        <v>7</v>
      </c>
      <c r="D49" s="1">
        <v>204.55</v>
      </c>
      <c r="E49" s="1">
        <v>0.77700000000000002</v>
      </c>
      <c r="F49" s="1">
        <v>5.3170000000000002</v>
      </c>
      <c r="I49" s="4" t="s">
        <v>7</v>
      </c>
      <c r="J49" s="1">
        <v>136.27199999999999</v>
      </c>
      <c r="K49" s="1">
        <v>0.66800000000000004</v>
      </c>
      <c r="L49" s="1">
        <v>1.833</v>
      </c>
    </row>
    <row r="50" spans="3:13" x14ac:dyDescent="0.3">
      <c r="C50" s="1"/>
      <c r="D50" s="1">
        <v>214.54499999999999</v>
      </c>
      <c r="E50" s="1">
        <v>0.755</v>
      </c>
      <c r="F50" s="1">
        <v>5.4649999999999999</v>
      </c>
      <c r="I50" s="1"/>
      <c r="J50" s="1">
        <v>136.886</v>
      </c>
      <c r="K50" s="1">
        <v>0.67400000000000004</v>
      </c>
      <c r="L50" s="1">
        <v>1.821</v>
      </c>
    </row>
    <row r="51" spans="3:13" x14ac:dyDescent="0.3">
      <c r="D51" s="1">
        <v>210.554</v>
      </c>
      <c r="E51" s="1">
        <v>0.76100000000000001</v>
      </c>
      <c r="F51" s="1">
        <v>5.2670000000000003</v>
      </c>
      <c r="J51" s="1">
        <v>142.18199999999999</v>
      </c>
      <c r="K51" s="1">
        <v>0.68300000000000005</v>
      </c>
      <c r="L51" s="1">
        <v>1.843</v>
      </c>
    </row>
    <row r="52" spans="3:13" x14ac:dyDescent="0.3">
      <c r="C52" s="6" t="s">
        <v>6</v>
      </c>
      <c r="D52" s="10">
        <f>AVERAGE(D49:D51)</f>
        <v>209.88300000000001</v>
      </c>
      <c r="E52" s="10">
        <f>AVERAGE(E49:E51)</f>
        <v>0.76433333333333342</v>
      </c>
      <c r="F52" s="10">
        <f>AVERAGE(F49:F51)</f>
        <v>5.3496666666666668</v>
      </c>
      <c r="I52" s="6" t="s">
        <v>6</v>
      </c>
      <c r="J52" s="10">
        <f>AVERAGE(J49:J51)</f>
        <v>138.44666666666669</v>
      </c>
      <c r="K52" s="10">
        <f>AVERAGE(K49:K51)</f>
        <v>0.67500000000000016</v>
      </c>
      <c r="L52" s="10">
        <f>AVERAGE(L49:L51)</f>
        <v>1.8323333333333334</v>
      </c>
    </row>
    <row r="53" spans="3:13" x14ac:dyDescent="0.3">
      <c r="D53" s="1"/>
      <c r="E53" s="1"/>
      <c r="F53" s="1"/>
      <c r="J53" s="1"/>
      <c r="K53" s="1"/>
      <c r="L53" s="1"/>
    </row>
    <row r="54" spans="3:13" x14ac:dyDescent="0.3">
      <c r="C54" s="4" t="s">
        <v>8</v>
      </c>
      <c r="D54" s="1">
        <v>154.57</v>
      </c>
      <c r="E54" s="1">
        <v>0.753</v>
      </c>
      <c r="F54" s="1">
        <v>5.6230000000000002</v>
      </c>
      <c r="G54" t="s">
        <v>10</v>
      </c>
      <c r="I54" s="4" t="s">
        <v>8</v>
      </c>
      <c r="J54" s="1">
        <v>87.370999999999995</v>
      </c>
      <c r="K54" s="1">
        <v>0.64700000000000002</v>
      </c>
      <c r="L54" s="1">
        <v>1.879</v>
      </c>
      <c r="M54" t="s">
        <v>10</v>
      </c>
    </row>
    <row r="55" spans="3:13" x14ac:dyDescent="0.3">
      <c r="D55" s="1">
        <v>148.13300000000001</v>
      </c>
      <c r="E55" s="1">
        <v>0.70499999999999996</v>
      </c>
      <c r="F55" s="1">
        <v>4.8499999999999996</v>
      </c>
      <c r="J55" s="1">
        <v>72.956000000000003</v>
      </c>
      <c r="K55" s="1">
        <v>0.72899999999999998</v>
      </c>
      <c r="L55" s="1">
        <v>1.79</v>
      </c>
    </row>
    <row r="56" spans="3:13" x14ac:dyDescent="0.3">
      <c r="D56" s="1">
        <v>140.83000000000001</v>
      </c>
      <c r="E56" s="1">
        <v>0.69199999999999995</v>
      </c>
      <c r="F56" s="1">
        <v>4.7629999999999999</v>
      </c>
      <c r="J56" s="1">
        <v>84.156999999999996</v>
      </c>
      <c r="K56" s="1">
        <v>0.67</v>
      </c>
      <c r="L56" s="1">
        <v>1.879</v>
      </c>
    </row>
    <row r="57" spans="3:13" x14ac:dyDescent="0.3">
      <c r="C57" s="6" t="s">
        <v>6</v>
      </c>
      <c r="D57" s="10">
        <f>AVERAGE(D54:D56)</f>
        <v>147.84433333333334</v>
      </c>
      <c r="E57" s="10">
        <f>AVERAGE(E54:E56)</f>
        <v>0.71666666666666667</v>
      </c>
      <c r="F57" s="10">
        <f>AVERAGE(F54:F56)</f>
        <v>5.078666666666666</v>
      </c>
      <c r="I57" s="6" t="s">
        <v>6</v>
      </c>
      <c r="J57" s="10">
        <f>AVERAGE(J54:J56)</f>
        <v>81.49466666666666</v>
      </c>
      <c r="K57" s="7">
        <f>AVERAGE(K54:K56)</f>
        <v>0.68199999999999994</v>
      </c>
      <c r="L57" s="10">
        <f>AVERAGE(L54:L56)</f>
        <v>1.8493333333333333</v>
      </c>
    </row>
    <row r="58" spans="3:13" x14ac:dyDescent="0.3">
      <c r="D58" s="1"/>
      <c r="E58" s="1"/>
      <c r="F58" s="1"/>
      <c r="J58" s="1"/>
      <c r="K58" s="1"/>
      <c r="L58" s="1"/>
    </row>
    <row r="59" spans="3:13" x14ac:dyDescent="0.3">
      <c r="C59" s="4" t="s">
        <v>9</v>
      </c>
      <c r="D59" s="1">
        <v>166.208</v>
      </c>
      <c r="E59" s="1">
        <v>0.76700000000000002</v>
      </c>
      <c r="F59" s="1">
        <v>5.5049999999999999</v>
      </c>
      <c r="G59" t="s">
        <v>25</v>
      </c>
      <c r="I59" s="4" t="s">
        <v>9</v>
      </c>
      <c r="J59" s="1">
        <v>51.192</v>
      </c>
      <c r="K59" s="1">
        <v>0.69499999999999995</v>
      </c>
      <c r="L59" s="1">
        <v>1.843</v>
      </c>
      <c r="M59" t="s">
        <v>26</v>
      </c>
    </row>
    <row r="60" spans="3:13" x14ac:dyDescent="0.3">
      <c r="D60" s="1">
        <v>144.9</v>
      </c>
      <c r="E60" s="1">
        <v>0.66400000000000003</v>
      </c>
      <c r="F60" s="1">
        <v>6.4420000000000002</v>
      </c>
      <c r="J60" s="1">
        <v>55.33</v>
      </c>
      <c r="K60" s="1">
        <v>0.64800000000000002</v>
      </c>
      <c r="L60" s="1">
        <v>1.881</v>
      </c>
    </row>
    <row r="61" spans="3:13" x14ac:dyDescent="0.3">
      <c r="D61" s="1">
        <v>131.20699999999999</v>
      </c>
      <c r="E61" s="1">
        <v>0.81499999999999995</v>
      </c>
      <c r="F61" s="1">
        <v>5.7720000000000002</v>
      </c>
      <c r="J61" s="1">
        <v>55.543999999999997</v>
      </c>
      <c r="K61" s="1">
        <v>0.69199999999999995</v>
      </c>
      <c r="L61" s="1">
        <v>1.87</v>
      </c>
    </row>
    <row r="62" spans="3:13" x14ac:dyDescent="0.3">
      <c r="C62" s="6" t="s">
        <v>6</v>
      </c>
      <c r="D62" s="10">
        <f>AVERAGE(D59:D61)</f>
        <v>147.43833333333333</v>
      </c>
      <c r="E62" s="10">
        <f>AVERAGE(E59:E61)</f>
        <v>0.7486666666666667</v>
      </c>
      <c r="F62" s="10">
        <f>AVERAGE(F59:F61)</f>
        <v>5.9063333333333334</v>
      </c>
      <c r="I62" s="6" t="s">
        <v>6</v>
      </c>
      <c r="J62" s="10">
        <f>AVERAGE(J59:J61)</f>
        <v>54.021999999999991</v>
      </c>
      <c r="K62" s="10">
        <f>AVERAGE(K59:K61)</f>
        <v>0.67833333333333334</v>
      </c>
      <c r="L62" s="10">
        <f>AVERAGE(L59:L61)</f>
        <v>1.8646666666666667</v>
      </c>
    </row>
    <row r="65" spans="2:12" x14ac:dyDescent="0.3">
      <c r="H65" t="s">
        <v>16</v>
      </c>
    </row>
    <row r="66" spans="2:12" x14ac:dyDescent="0.3">
      <c r="B66" s="5" t="s">
        <v>14</v>
      </c>
      <c r="H66" s="5" t="s">
        <v>15</v>
      </c>
    </row>
    <row r="68" spans="2:12" x14ac:dyDescent="0.3">
      <c r="D68" s="4" t="s">
        <v>2</v>
      </c>
      <c r="E68" s="4" t="s">
        <v>3</v>
      </c>
      <c r="F68" s="4" t="s">
        <v>4</v>
      </c>
      <c r="J68" s="4" t="s">
        <v>2</v>
      </c>
      <c r="K68" s="4" t="s">
        <v>3</v>
      </c>
      <c r="L68" s="4" t="s">
        <v>4</v>
      </c>
    </row>
    <row r="70" spans="2:12" x14ac:dyDescent="0.3">
      <c r="C70" s="4" t="s">
        <v>1</v>
      </c>
      <c r="D70" s="1">
        <v>230.125</v>
      </c>
      <c r="E70" s="1">
        <v>0.76700000000000002</v>
      </c>
      <c r="F70" s="1">
        <v>4.2889999999999997</v>
      </c>
      <c r="I70" s="4" t="s">
        <v>1</v>
      </c>
      <c r="J70" s="2">
        <v>213.70699999999999</v>
      </c>
      <c r="K70" s="2">
        <v>0.73799999999999999</v>
      </c>
      <c r="L70" s="3">
        <v>4.5819999999999999</v>
      </c>
    </row>
    <row r="71" spans="2:12" x14ac:dyDescent="0.3">
      <c r="C71" s="1"/>
      <c r="D71" s="2">
        <v>218.55500000000001</v>
      </c>
      <c r="E71" s="2">
        <v>0.76900000000000002</v>
      </c>
      <c r="F71" s="3">
        <v>4.2720000000000002</v>
      </c>
      <c r="I71" s="1"/>
      <c r="J71" s="2">
        <v>222.21700000000001</v>
      </c>
      <c r="K71" s="2">
        <v>0.754</v>
      </c>
      <c r="L71" s="3">
        <v>4.5640000000000001</v>
      </c>
    </row>
    <row r="72" spans="2:12" x14ac:dyDescent="0.3">
      <c r="C72" s="1"/>
      <c r="D72" s="3">
        <v>226.494</v>
      </c>
      <c r="E72" s="2">
        <v>0.76700000000000002</v>
      </c>
      <c r="F72" s="1">
        <v>4.2539999999999996</v>
      </c>
      <c r="I72" s="1"/>
      <c r="J72" s="3">
        <v>221.53299999999999</v>
      </c>
      <c r="K72" s="2">
        <v>0.75600000000000001</v>
      </c>
      <c r="L72" s="2">
        <v>4.6040000000000001</v>
      </c>
    </row>
    <row r="73" spans="2:12" x14ac:dyDescent="0.3">
      <c r="C73" s="6" t="s">
        <v>6</v>
      </c>
      <c r="D73" s="10">
        <f>AVERAGE(D70:D72)</f>
        <v>225.05799999999999</v>
      </c>
      <c r="E73" s="10">
        <f>AVERAGE(E70:E72)</f>
        <v>0.76766666666666661</v>
      </c>
      <c r="F73" s="10">
        <f>AVERAGE(F70:F72)</f>
        <v>4.2716666666666665</v>
      </c>
      <c r="I73" s="6" t="s">
        <v>6</v>
      </c>
      <c r="J73" s="10">
        <f>AVERAGE(J70:J72)</f>
        <v>219.15233333333333</v>
      </c>
      <c r="K73" s="10">
        <f>AVERAGE(K70:K72)</f>
        <v>0.74933333333333341</v>
      </c>
      <c r="L73" s="10">
        <f>AVERAGE(L70:L72)</f>
        <v>4.583333333333333</v>
      </c>
    </row>
    <row r="74" spans="2:12" x14ac:dyDescent="0.3">
      <c r="C74" s="1"/>
      <c r="D74" s="1"/>
      <c r="E74" s="1"/>
      <c r="F74" s="1"/>
      <c r="I74" s="1"/>
      <c r="J74" s="1"/>
      <c r="K74" s="1"/>
      <c r="L74" s="1"/>
    </row>
    <row r="75" spans="2:12" x14ac:dyDescent="0.3">
      <c r="C75" s="4" t="s">
        <v>5</v>
      </c>
      <c r="D75" s="1">
        <v>343.37400000000002</v>
      </c>
      <c r="E75" s="1">
        <v>0.75</v>
      </c>
      <c r="F75" s="1">
        <v>4.3739999999999997</v>
      </c>
      <c r="I75" s="4" t="s">
        <v>5</v>
      </c>
      <c r="J75" s="1">
        <v>365.53300000000002</v>
      </c>
      <c r="K75" s="1">
        <v>0.72</v>
      </c>
      <c r="L75" s="1">
        <v>4.6920000000000002</v>
      </c>
    </row>
    <row r="76" spans="2:12" x14ac:dyDescent="0.3">
      <c r="C76" s="1"/>
      <c r="D76" s="1">
        <v>364.72800000000001</v>
      </c>
      <c r="E76" s="1">
        <v>0.73599999999999999</v>
      </c>
      <c r="F76" s="1">
        <v>4.2359999999999998</v>
      </c>
      <c r="I76" s="1"/>
      <c r="J76" s="1">
        <v>383.21</v>
      </c>
      <c r="K76" s="1">
        <v>0.69799999999999995</v>
      </c>
      <c r="L76" s="1">
        <v>4.7439999999999998</v>
      </c>
    </row>
    <row r="77" spans="2:12" x14ac:dyDescent="0.3">
      <c r="D77" s="1">
        <v>349.47199999999998</v>
      </c>
      <c r="E77" s="1">
        <v>0.76700000000000002</v>
      </c>
      <c r="F77" s="1">
        <v>4.3609999999999998</v>
      </c>
      <c r="J77" s="1">
        <v>367.68799999999999</v>
      </c>
      <c r="K77" s="1">
        <v>0.71599999999999997</v>
      </c>
      <c r="L77" s="1">
        <v>4.5750000000000002</v>
      </c>
    </row>
    <row r="78" spans="2:12" x14ac:dyDescent="0.3">
      <c r="C78" s="6" t="s">
        <v>6</v>
      </c>
      <c r="D78" s="10">
        <f>AVERAGE(D75:D77)</f>
        <v>352.52466666666669</v>
      </c>
      <c r="E78" s="10">
        <f>AVERAGE(E75:E77)</f>
        <v>0.751</v>
      </c>
      <c r="F78" s="10">
        <f>AVERAGE(F75:F77)</f>
        <v>4.323666666666667</v>
      </c>
      <c r="I78" s="6" t="s">
        <v>6</v>
      </c>
      <c r="J78" s="10">
        <f>AVERAGE(J75:J77)</f>
        <v>372.14366666666666</v>
      </c>
      <c r="K78" s="10">
        <f>AVERAGE(K75:K77)</f>
        <v>0.71133333333333326</v>
      </c>
      <c r="L78" s="10">
        <f>AVERAGE(L75:L77)</f>
        <v>4.6703333333333328</v>
      </c>
    </row>
    <row r="79" spans="2:12" x14ac:dyDescent="0.3">
      <c r="C79" s="1"/>
      <c r="D79" s="1"/>
      <c r="E79" s="1"/>
      <c r="F79" s="1"/>
      <c r="I79" s="1"/>
      <c r="J79" s="1"/>
      <c r="K79" s="1"/>
      <c r="L79" s="1"/>
    </row>
    <row r="80" spans="2:12" x14ac:dyDescent="0.3">
      <c r="C80" s="4" t="s">
        <v>7</v>
      </c>
      <c r="D80" s="1">
        <v>145.06399999999999</v>
      </c>
      <c r="E80" s="1">
        <v>0.76</v>
      </c>
      <c r="F80" s="1">
        <v>4.2130000000000001</v>
      </c>
      <c r="I80" s="4" t="s">
        <v>7</v>
      </c>
      <c r="J80" s="1">
        <v>141.34200000000001</v>
      </c>
      <c r="K80" s="1">
        <v>0.73599999999999999</v>
      </c>
      <c r="L80" s="1">
        <v>4.6180000000000003</v>
      </c>
    </row>
    <row r="81" spans="2:13" x14ac:dyDescent="0.3">
      <c r="C81" s="1"/>
      <c r="D81" s="1">
        <v>145.28</v>
      </c>
      <c r="E81" s="1">
        <v>0.76</v>
      </c>
      <c r="F81" s="1">
        <v>4.1900000000000004</v>
      </c>
      <c r="I81" s="1"/>
      <c r="J81" s="1">
        <v>146.62200000000001</v>
      </c>
      <c r="K81" s="1">
        <v>0.753</v>
      </c>
      <c r="L81" s="1">
        <v>4.47</v>
      </c>
    </row>
    <row r="82" spans="2:13" x14ac:dyDescent="0.3">
      <c r="D82" s="1">
        <v>145.649</v>
      </c>
      <c r="E82" s="1">
        <v>0.75900000000000001</v>
      </c>
      <c r="F82" s="1">
        <v>4.2649999999999997</v>
      </c>
      <c r="J82" s="1">
        <v>147.292</v>
      </c>
      <c r="K82" s="1">
        <v>0.749</v>
      </c>
      <c r="L82" s="1">
        <v>4.4779999999999998</v>
      </c>
    </row>
    <row r="83" spans="2:13" x14ac:dyDescent="0.3">
      <c r="C83" s="6" t="s">
        <v>6</v>
      </c>
      <c r="D83" s="10">
        <f>AVERAGE(D80:D82)</f>
        <v>145.33099999999999</v>
      </c>
      <c r="E83" s="10">
        <f>AVERAGE(E80:E82)</f>
        <v>0.7596666666666666</v>
      </c>
      <c r="F83" s="10">
        <f>AVERAGE(F80:F82)</f>
        <v>4.2226666666666661</v>
      </c>
      <c r="I83" s="6" t="s">
        <v>6</v>
      </c>
      <c r="J83" s="10">
        <f>AVERAGE(J80:J82)</f>
        <v>145.08533333333335</v>
      </c>
      <c r="K83" s="10">
        <f>AVERAGE(K80:K82)</f>
        <v>0.746</v>
      </c>
      <c r="L83" s="10">
        <f>AVERAGE(L80:L82)</f>
        <v>4.5220000000000002</v>
      </c>
    </row>
    <row r="84" spans="2:13" x14ac:dyDescent="0.3">
      <c r="D84" s="1"/>
      <c r="E84" s="1"/>
      <c r="F84" s="1"/>
      <c r="J84" s="1"/>
      <c r="K84" s="1"/>
      <c r="L84" s="1"/>
    </row>
    <row r="85" spans="2:13" x14ac:dyDescent="0.3">
      <c r="C85" s="4" t="s">
        <v>8</v>
      </c>
      <c r="D85" s="1">
        <v>85.242999999999995</v>
      </c>
      <c r="E85" s="1">
        <v>0.754</v>
      </c>
      <c r="F85" s="1">
        <v>4.26</v>
      </c>
      <c r="G85" t="s">
        <v>10</v>
      </c>
      <c r="I85" s="4" t="s">
        <v>8</v>
      </c>
      <c r="J85" s="1">
        <v>86.495999999999995</v>
      </c>
      <c r="K85" s="1">
        <v>0.72899999999999998</v>
      </c>
      <c r="L85" s="1">
        <v>4.585</v>
      </c>
      <c r="M85" t="s">
        <v>10</v>
      </c>
    </row>
    <row r="86" spans="2:13" x14ac:dyDescent="0.3">
      <c r="D86" s="1">
        <v>86.954999999999998</v>
      </c>
      <c r="E86" s="1">
        <v>0.76200000000000001</v>
      </c>
      <c r="F86" s="1">
        <v>4.2690000000000001</v>
      </c>
      <c r="J86" s="1">
        <v>89.430999999999997</v>
      </c>
      <c r="K86" s="1">
        <v>0.71</v>
      </c>
      <c r="L86" s="1">
        <v>4.4829999999999997</v>
      </c>
    </row>
    <row r="87" spans="2:13" x14ac:dyDescent="0.3">
      <c r="D87" s="1">
        <v>87.27</v>
      </c>
      <c r="E87" s="1">
        <v>0.75600000000000001</v>
      </c>
      <c r="F87" s="1">
        <v>4.2960000000000003</v>
      </c>
      <c r="J87" s="1">
        <v>90.186000000000007</v>
      </c>
      <c r="K87" s="1">
        <v>0.74299999999999999</v>
      </c>
      <c r="L87" s="1">
        <v>4.5670000000000002</v>
      </c>
    </row>
    <row r="88" spans="2:13" x14ac:dyDescent="0.3">
      <c r="C88" s="6" t="s">
        <v>6</v>
      </c>
      <c r="D88" s="10">
        <f>AVERAGE(D85:D87)</f>
        <v>86.48933333333332</v>
      </c>
      <c r="E88" s="10">
        <f>AVERAGE(E85:E87)</f>
        <v>0.75733333333333341</v>
      </c>
      <c r="F88" s="10">
        <f>AVERAGE(F85:F87)</f>
        <v>4.2749999999999995</v>
      </c>
      <c r="I88" s="6" t="s">
        <v>6</v>
      </c>
      <c r="J88" s="10">
        <f>AVERAGE(J85:J87)</f>
        <v>88.704333333333338</v>
      </c>
      <c r="K88" s="10">
        <f>AVERAGE(K85:K87)</f>
        <v>0.72733333333333328</v>
      </c>
      <c r="L88" s="10">
        <f>AVERAGE(L85:L87)</f>
        <v>4.5449999999999999</v>
      </c>
    </row>
    <row r="89" spans="2:13" x14ac:dyDescent="0.3">
      <c r="D89" s="1"/>
      <c r="E89" s="1"/>
      <c r="F89" s="1"/>
      <c r="J89" s="1"/>
      <c r="K89" s="1"/>
      <c r="L89" s="1"/>
    </row>
    <row r="90" spans="2:13" x14ac:dyDescent="0.3">
      <c r="C90" s="4" t="s">
        <v>9</v>
      </c>
      <c r="D90" s="1">
        <v>61.994999999999997</v>
      </c>
      <c r="E90" s="1">
        <v>0.76600000000000001</v>
      </c>
      <c r="F90" s="1">
        <v>4.2880000000000003</v>
      </c>
      <c r="G90" t="s">
        <v>27</v>
      </c>
      <c r="I90" s="4" t="s">
        <v>9</v>
      </c>
      <c r="J90" s="1">
        <v>53.27</v>
      </c>
      <c r="K90" s="1">
        <v>0.746</v>
      </c>
      <c r="L90" s="1">
        <v>4.516</v>
      </c>
      <c r="M90" t="s">
        <v>28</v>
      </c>
    </row>
    <row r="91" spans="2:13" x14ac:dyDescent="0.3">
      <c r="D91" s="1">
        <v>61.338999999999999</v>
      </c>
      <c r="E91" s="1">
        <v>0.76600000000000001</v>
      </c>
      <c r="F91" s="1">
        <v>4.2839999999999998</v>
      </c>
      <c r="J91" s="1">
        <v>54.914000000000001</v>
      </c>
      <c r="K91" s="1">
        <v>0.753</v>
      </c>
      <c r="L91" s="1">
        <v>4.6840000000000002</v>
      </c>
    </row>
    <row r="92" spans="2:13" x14ac:dyDescent="0.3">
      <c r="D92" s="1">
        <v>65.448999999999998</v>
      </c>
      <c r="E92" s="1">
        <v>0.76600000000000001</v>
      </c>
      <c r="F92" s="1">
        <v>4.2919999999999998</v>
      </c>
      <c r="J92" s="1">
        <v>63.201999999999998</v>
      </c>
      <c r="K92" s="1">
        <v>0.747</v>
      </c>
      <c r="L92" s="1">
        <v>4.8419999999999996</v>
      </c>
    </row>
    <row r="93" spans="2:13" x14ac:dyDescent="0.3">
      <c r="C93" s="6" t="s">
        <v>6</v>
      </c>
      <c r="D93" s="10">
        <f>AVERAGE(D90:D92)</f>
        <v>62.927666666666674</v>
      </c>
      <c r="E93" s="10">
        <f>AVERAGE(E90:E92)</f>
        <v>0.76600000000000001</v>
      </c>
      <c r="F93" s="10">
        <f>AVERAGE(F90:F92)</f>
        <v>4.2879999999999994</v>
      </c>
      <c r="I93" s="6" t="s">
        <v>6</v>
      </c>
      <c r="J93" s="10">
        <f>AVERAGE(J90:J92)</f>
        <v>57.128666666666668</v>
      </c>
      <c r="K93" s="10">
        <f>AVERAGE(K90:K92)</f>
        <v>0.7486666666666667</v>
      </c>
      <c r="L93" s="10">
        <f>AVERAGE(L90:L92)</f>
        <v>4.6806666666666663</v>
      </c>
    </row>
    <row r="95" spans="2:13" x14ac:dyDescent="0.3">
      <c r="B95" t="s">
        <v>18</v>
      </c>
      <c r="H95" t="s">
        <v>19</v>
      </c>
    </row>
    <row r="96" spans="2:13" x14ac:dyDescent="0.3">
      <c r="B96" s="5" t="s">
        <v>17</v>
      </c>
      <c r="H96" s="5" t="s">
        <v>20</v>
      </c>
    </row>
    <row r="98" spans="3:12" x14ac:dyDescent="0.3">
      <c r="D98" s="4" t="s">
        <v>2</v>
      </c>
      <c r="E98" s="4" t="s">
        <v>3</v>
      </c>
      <c r="F98" s="4" t="s">
        <v>4</v>
      </c>
      <c r="J98" s="4" t="s">
        <v>2</v>
      </c>
      <c r="K98" s="4" t="s">
        <v>3</v>
      </c>
      <c r="L98" s="4" t="s">
        <v>4</v>
      </c>
    </row>
    <row r="100" spans="3:12" x14ac:dyDescent="0.3">
      <c r="C100" s="4" t="s">
        <v>1</v>
      </c>
      <c r="D100" s="2">
        <v>227.01400000000001</v>
      </c>
      <c r="E100" s="2">
        <v>0.878</v>
      </c>
      <c r="F100" s="3">
        <v>13.198</v>
      </c>
      <c r="I100" s="4" t="s">
        <v>1</v>
      </c>
      <c r="J100" s="2">
        <v>220.27600000000001</v>
      </c>
      <c r="K100" s="2">
        <v>0.78</v>
      </c>
      <c r="L100" s="3">
        <v>11.34</v>
      </c>
    </row>
    <row r="101" spans="3:12" x14ac:dyDescent="0.3">
      <c r="C101" s="1"/>
      <c r="D101" s="2">
        <v>221.57900000000001</v>
      </c>
      <c r="E101" s="2">
        <v>0.879</v>
      </c>
      <c r="F101" s="3">
        <v>13.614000000000001</v>
      </c>
      <c r="I101" s="1"/>
      <c r="J101" s="2">
        <v>219.07400000000001</v>
      </c>
      <c r="K101" s="2">
        <v>0.77600000000000002</v>
      </c>
      <c r="L101" s="3">
        <v>11.493</v>
      </c>
    </row>
    <row r="102" spans="3:12" x14ac:dyDescent="0.3">
      <c r="C102" s="1"/>
      <c r="D102" s="3">
        <v>219.88800000000001</v>
      </c>
      <c r="E102" s="2">
        <v>0.88700000000000001</v>
      </c>
      <c r="F102" s="2">
        <v>12.949</v>
      </c>
      <c r="I102" s="1"/>
      <c r="J102" s="3">
        <v>225.41900000000001</v>
      </c>
      <c r="K102" s="2">
        <v>0.749</v>
      </c>
      <c r="L102" s="2">
        <v>11.041</v>
      </c>
    </row>
    <row r="103" spans="3:12" x14ac:dyDescent="0.3">
      <c r="C103" s="6" t="s">
        <v>6</v>
      </c>
      <c r="D103" s="10">
        <f>AVERAGE(D100:D102)</f>
        <v>222.827</v>
      </c>
      <c r="E103" s="10">
        <f>AVERAGE(E100:E102)</f>
        <v>0.88133333333333341</v>
      </c>
      <c r="F103" s="10">
        <f>AVERAGE(F100:F102)</f>
        <v>13.253666666666668</v>
      </c>
      <c r="I103" s="6" t="s">
        <v>6</v>
      </c>
      <c r="J103" s="10">
        <f>AVERAGE(J100:J102)</f>
        <v>221.58966666666666</v>
      </c>
      <c r="K103" s="10">
        <f>AVERAGE(K100:K102)</f>
        <v>0.76833333333333342</v>
      </c>
      <c r="L103" s="10">
        <f>AVERAGE(L100:L102)</f>
        <v>11.291333333333332</v>
      </c>
    </row>
    <row r="104" spans="3:12" x14ac:dyDescent="0.3">
      <c r="C104" s="1"/>
      <c r="D104" s="1"/>
      <c r="E104" s="1"/>
      <c r="F104" s="1"/>
      <c r="I104" s="1"/>
      <c r="J104" s="1"/>
      <c r="K104" s="1"/>
      <c r="L104" s="1"/>
    </row>
    <row r="105" spans="3:12" x14ac:dyDescent="0.3">
      <c r="C105" s="4" t="s">
        <v>5</v>
      </c>
      <c r="D105" s="1">
        <v>312.06700000000001</v>
      </c>
      <c r="E105" s="1">
        <v>0.67100000000000004</v>
      </c>
      <c r="F105" s="1">
        <v>19.449000000000002</v>
      </c>
      <c r="I105" s="4" t="s">
        <v>5</v>
      </c>
      <c r="J105" s="1">
        <v>336.87700000000001</v>
      </c>
      <c r="K105" s="1">
        <v>0.70499999999999996</v>
      </c>
      <c r="L105" s="1">
        <v>12.090999999999999</v>
      </c>
    </row>
    <row r="106" spans="3:12" x14ac:dyDescent="0.3">
      <c r="C106" s="1"/>
      <c r="D106" s="1">
        <v>321.18</v>
      </c>
      <c r="E106" s="1">
        <v>0.72299999999999998</v>
      </c>
      <c r="F106" s="1">
        <v>19.181000000000001</v>
      </c>
      <c r="I106" s="1"/>
      <c r="J106" s="1">
        <v>321.928</v>
      </c>
      <c r="K106" s="1">
        <v>0.70199999999999996</v>
      </c>
      <c r="L106" s="1">
        <v>11.266999999999999</v>
      </c>
    </row>
    <row r="107" spans="3:12" x14ac:dyDescent="0.3">
      <c r="D107" s="1">
        <v>309.67099999999999</v>
      </c>
      <c r="E107" s="1">
        <v>0.66900000000000004</v>
      </c>
      <c r="F107" s="1">
        <v>19.620999999999999</v>
      </c>
      <c r="J107" s="1">
        <v>315.99400000000003</v>
      </c>
      <c r="K107" s="1">
        <v>0.67100000000000004</v>
      </c>
      <c r="L107" s="1">
        <v>12.266999999999999</v>
      </c>
    </row>
    <row r="108" spans="3:12" x14ac:dyDescent="0.3">
      <c r="C108" s="6" t="s">
        <v>6</v>
      </c>
      <c r="D108" s="10">
        <f>AVERAGE(D105:D107)</f>
        <v>314.30600000000004</v>
      </c>
      <c r="E108" s="10">
        <f>AVERAGE(E105:E107)</f>
        <v>0.68766666666666676</v>
      </c>
      <c r="F108" s="10">
        <f>AVERAGE(F105:F107)</f>
        <v>19.417000000000002</v>
      </c>
      <c r="I108" s="6" t="s">
        <v>6</v>
      </c>
      <c r="J108" s="10">
        <f>AVERAGE(J105:J107)</f>
        <v>324.93300000000005</v>
      </c>
      <c r="K108" s="10">
        <f>AVERAGE(K105:K107)</f>
        <v>0.69266666666666676</v>
      </c>
      <c r="L108" s="10">
        <f>AVERAGE(L105:L107)</f>
        <v>11.875</v>
      </c>
    </row>
    <row r="109" spans="3:12" x14ac:dyDescent="0.3">
      <c r="C109" s="1"/>
      <c r="D109" s="1"/>
      <c r="E109" s="1"/>
      <c r="F109" s="1"/>
      <c r="I109" s="1"/>
      <c r="J109" s="1"/>
      <c r="K109" s="1"/>
      <c r="L109" s="1"/>
    </row>
    <row r="110" spans="3:12" x14ac:dyDescent="0.3">
      <c r="C110" s="4" t="s">
        <v>7</v>
      </c>
      <c r="D110" s="1">
        <v>137.76499999999999</v>
      </c>
      <c r="E110" s="1">
        <v>0.79</v>
      </c>
      <c r="F110" s="1">
        <v>13.454000000000001</v>
      </c>
      <c r="I110" s="4" t="s">
        <v>7</v>
      </c>
      <c r="J110" s="1">
        <v>138.27500000000001</v>
      </c>
      <c r="K110" s="1">
        <v>0.74</v>
      </c>
      <c r="L110" s="1">
        <v>9.0220000000000002</v>
      </c>
    </row>
    <row r="111" spans="3:12" x14ac:dyDescent="0.3">
      <c r="C111" s="1"/>
      <c r="D111" s="1">
        <v>136.91200000000001</v>
      </c>
      <c r="E111" s="1">
        <v>0.872</v>
      </c>
      <c r="F111" s="1">
        <v>10.933</v>
      </c>
      <c r="I111" s="1"/>
      <c r="J111" s="1">
        <v>138.959</v>
      </c>
      <c r="K111" s="1">
        <v>0.76300000000000001</v>
      </c>
      <c r="L111" s="1">
        <v>9.1199999999999992</v>
      </c>
    </row>
    <row r="112" spans="3:12" x14ac:dyDescent="0.3">
      <c r="D112" s="1">
        <v>147.434</v>
      </c>
      <c r="E112" s="1">
        <v>0.874</v>
      </c>
      <c r="F112" s="1">
        <v>13.526</v>
      </c>
      <c r="J112" s="1">
        <v>143.042</v>
      </c>
      <c r="K112" s="1">
        <v>0.76600000000000001</v>
      </c>
      <c r="L112" s="1">
        <v>10.039999999999999</v>
      </c>
    </row>
    <row r="113" spans="2:13" x14ac:dyDescent="0.3">
      <c r="C113" s="6" t="s">
        <v>6</v>
      </c>
      <c r="D113" s="10">
        <f>AVERAGE(D110:D112)</f>
        <v>140.70366666666666</v>
      </c>
      <c r="E113" s="10">
        <f>AVERAGE(E110:E112)</f>
        <v>0.84533333333333338</v>
      </c>
      <c r="F113" s="10">
        <f>AVERAGE(F110:F112)</f>
        <v>12.637666666666666</v>
      </c>
      <c r="I113" s="6" t="s">
        <v>6</v>
      </c>
      <c r="J113" s="10">
        <f>AVERAGE(J110:J112)</f>
        <v>140.09200000000001</v>
      </c>
      <c r="K113" s="10">
        <f>AVERAGE(K110:K112)</f>
        <v>0.75633333333333341</v>
      </c>
      <c r="L113" s="10">
        <f>AVERAGE(L110:L112)</f>
        <v>9.3940000000000001</v>
      </c>
    </row>
    <row r="114" spans="2:13" x14ac:dyDescent="0.3">
      <c r="D114" s="1"/>
      <c r="E114" s="1"/>
      <c r="F114" s="1"/>
      <c r="J114" s="1"/>
      <c r="K114" s="1"/>
      <c r="L114" s="1"/>
    </row>
    <row r="115" spans="2:13" x14ac:dyDescent="0.3">
      <c r="C115" s="4" t="s">
        <v>8</v>
      </c>
      <c r="D115" s="1">
        <v>81.697000000000003</v>
      </c>
      <c r="E115" s="1">
        <v>0.84699999999999998</v>
      </c>
      <c r="F115" s="1">
        <v>11.959</v>
      </c>
      <c r="G115" t="s">
        <v>10</v>
      </c>
      <c r="I115" s="4" t="s">
        <v>8</v>
      </c>
      <c r="J115" s="1">
        <v>72.569000000000003</v>
      </c>
      <c r="K115" s="1">
        <v>0.71199999999999997</v>
      </c>
      <c r="L115" s="1">
        <v>10.832000000000001</v>
      </c>
      <c r="M115" t="s">
        <v>10</v>
      </c>
    </row>
    <row r="116" spans="2:13" x14ac:dyDescent="0.3">
      <c r="D116" s="1">
        <v>83.34</v>
      </c>
      <c r="E116" s="1">
        <v>0.86699999999999999</v>
      </c>
      <c r="F116" s="1">
        <v>12.337</v>
      </c>
      <c r="J116" s="1">
        <v>76.656000000000006</v>
      </c>
      <c r="K116" s="1">
        <v>0.73499999999999999</v>
      </c>
      <c r="L116" s="1">
        <v>10.526999999999999</v>
      </c>
    </row>
    <row r="117" spans="2:13" x14ac:dyDescent="0.3">
      <c r="D117" s="1">
        <v>90.525999999999996</v>
      </c>
      <c r="E117" s="1">
        <v>0.85699999999999998</v>
      </c>
      <c r="F117" s="1">
        <v>12.308999999999999</v>
      </c>
      <c r="J117" s="1">
        <v>79.042000000000002</v>
      </c>
      <c r="K117" s="1">
        <v>0.73</v>
      </c>
      <c r="L117" s="1">
        <v>10.526999999999999</v>
      </c>
    </row>
    <row r="118" spans="2:13" x14ac:dyDescent="0.3">
      <c r="C118" s="6" t="s">
        <v>6</v>
      </c>
      <c r="D118" s="10">
        <f>AVERAGE(D115:D117)</f>
        <v>85.187666666666658</v>
      </c>
      <c r="E118" s="10">
        <f>AVERAGE(E115:E117)</f>
        <v>0.85699999999999987</v>
      </c>
      <c r="F118" s="10">
        <f>AVERAGE(F115:F117)</f>
        <v>12.201666666666666</v>
      </c>
      <c r="I118" s="6" t="s">
        <v>6</v>
      </c>
      <c r="J118" s="10">
        <f>AVERAGE(J115:J117)</f>
        <v>76.089000000000013</v>
      </c>
      <c r="K118" s="10">
        <f>AVERAGE(K115:K117)</f>
        <v>0.72566666666666668</v>
      </c>
      <c r="L118" s="10">
        <f>AVERAGE(L115:L117)</f>
        <v>10.628666666666668</v>
      </c>
    </row>
    <row r="119" spans="2:13" x14ac:dyDescent="0.3">
      <c r="D119" s="1"/>
      <c r="E119" s="1"/>
      <c r="F119" s="1"/>
      <c r="J119" s="1"/>
      <c r="K119" s="1"/>
      <c r="L119" s="1"/>
    </row>
    <row r="120" spans="2:13" x14ac:dyDescent="0.3">
      <c r="C120" s="4" t="s">
        <v>9</v>
      </c>
      <c r="D120" s="1">
        <v>61.323999999999998</v>
      </c>
      <c r="E120" s="1">
        <v>0.88100000000000001</v>
      </c>
      <c r="F120" s="1">
        <v>13.718999999999999</v>
      </c>
      <c r="G120" t="s">
        <v>29</v>
      </c>
      <c r="I120" s="4" t="s">
        <v>9</v>
      </c>
      <c r="J120" s="1">
        <v>61.893000000000001</v>
      </c>
      <c r="K120" s="1">
        <v>0.74399999999999999</v>
      </c>
      <c r="L120" s="1">
        <v>11.359</v>
      </c>
      <c r="M120" t="s">
        <v>30</v>
      </c>
    </row>
    <row r="121" spans="2:13" x14ac:dyDescent="0.3">
      <c r="D121" s="1">
        <v>77.042000000000002</v>
      </c>
      <c r="E121" s="1">
        <v>0.88</v>
      </c>
      <c r="F121" s="1">
        <v>13.287000000000001</v>
      </c>
      <c r="J121" s="1">
        <v>56.378</v>
      </c>
      <c r="K121" s="1">
        <v>0.72699999999999998</v>
      </c>
      <c r="L121" s="1">
        <v>10.801</v>
      </c>
      <c r="M121" s="9"/>
    </row>
    <row r="122" spans="2:13" x14ac:dyDescent="0.3">
      <c r="D122" s="1">
        <v>76.846999999999994</v>
      </c>
      <c r="E122" s="1">
        <v>0.85499999999999998</v>
      </c>
      <c r="F122" s="1">
        <v>14.978</v>
      </c>
      <c r="J122" s="1">
        <v>57.79</v>
      </c>
      <c r="K122" s="1">
        <v>0.76800000000000002</v>
      </c>
      <c r="L122" s="1">
        <v>11.622999999999999</v>
      </c>
    </row>
    <row r="123" spans="2:13" x14ac:dyDescent="0.3">
      <c r="C123" s="6" t="s">
        <v>6</v>
      </c>
      <c r="D123" s="10">
        <f>AVERAGE(D120:D122)</f>
        <v>71.737666666666655</v>
      </c>
      <c r="E123" s="10">
        <f>AVERAGE(E120:E122)</f>
        <v>0.872</v>
      </c>
      <c r="F123" s="10">
        <f>AVERAGE(F120:F122)</f>
        <v>13.994666666666667</v>
      </c>
      <c r="I123" s="6" t="s">
        <v>6</v>
      </c>
      <c r="J123" s="10">
        <f>AVERAGE(J120:J122)</f>
        <v>58.687000000000005</v>
      </c>
      <c r="K123" s="10">
        <f>AVERAGE(K120:K122)</f>
        <v>0.74633333333333329</v>
      </c>
      <c r="L123" s="10">
        <f>AVERAGE(L120:L122)</f>
        <v>11.261000000000001</v>
      </c>
    </row>
    <row r="124" spans="2:13" x14ac:dyDescent="0.3">
      <c r="B124" t="s">
        <v>22</v>
      </c>
      <c r="H124" t="s">
        <v>23</v>
      </c>
    </row>
    <row r="125" spans="2:13" x14ac:dyDescent="0.3">
      <c r="B125" s="5" t="s">
        <v>21</v>
      </c>
      <c r="H125" s="5" t="s">
        <v>24</v>
      </c>
    </row>
    <row r="127" spans="2:13" x14ac:dyDescent="0.3">
      <c r="D127" s="4" t="s">
        <v>2</v>
      </c>
      <c r="E127" s="4" t="s">
        <v>3</v>
      </c>
      <c r="F127" s="4" t="s">
        <v>4</v>
      </c>
      <c r="J127" s="4" t="s">
        <v>2</v>
      </c>
      <c r="K127" s="4" t="s">
        <v>3</v>
      </c>
      <c r="L127" s="4" t="s">
        <v>4</v>
      </c>
    </row>
    <row r="129" spans="3:13" x14ac:dyDescent="0.3">
      <c r="C129" s="4" t="s">
        <v>1</v>
      </c>
      <c r="D129" s="2">
        <v>420.57400000000001</v>
      </c>
      <c r="E129" s="2">
        <v>0.80500000000000005</v>
      </c>
      <c r="F129" s="3">
        <v>11</v>
      </c>
      <c r="I129" s="4" t="s">
        <v>1</v>
      </c>
      <c r="J129" s="2">
        <v>436.08800000000002</v>
      </c>
      <c r="K129" s="2">
        <v>0.77300000000000002</v>
      </c>
      <c r="L129" s="3">
        <v>4.8949999999999996</v>
      </c>
    </row>
    <row r="130" spans="3:13" x14ac:dyDescent="0.3">
      <c r="C130" s="1"/>
      <c r="D130" s="2">
        <v>423.334</v>
      </c>
      <c r="E130" s="2">
        <v>0.84799999999999998</v>
      </c>
      <c r="F130" s="3">
        <v>10.602</v>
      </c>
      <c r="I130" s="1"/>
      <c r="J130" s="2">
        <v>437.8</v>
      </c>
      <c r="K130" s="2">
        <v>0.873</v>
      </c>
      <c r="L130" s="3">
        <v>4.24</v>
      </c>
    </row>
    <row r="131" spans="3:13" x14ac:dyDescent="0.3">
      <c r="C131" s="1"/>
      <c r="D131" s="3">
        <v>426.83300000000003</v>
      </c>
      <c r="E131" s="2">
        <v>0.83799999999999997</v>
      </c>
      <c r="F131" s="2">
        <v>10.512</v>
      </c>
      <c r="I131" s="1"/>
      <c r="J131" s="3">
        <v>438.11500000000001</v>
      </c>
      <c r="K131" s="2">
        <v>0.77800000000000002</v>
      </c>
      <c r="L131" s="2">
        <v>4.891</v>
      </c>
    </row>
    <row r="132" spans="3:13" x14ac:dyDescent="0.3">
      <c r="C132" s="6" t="s">
        <v>6</v>
      </c>
      <c r="D132" s="10">
        <f>AVERAGE(D129:D131)</f>
        <v>423.58033333333333</v>
      </c>
      <c r="E132" s="10">
        <f>AVERAGE(E129:E131)</f>
        <v>0.83033333333333337</v>
      </c>
      <c r="F132" s="10">
        <f>AVERAGE(F129:F131)</f>
        <v>10.704666666666668</v>
      </c>
      <c r="I132" s="6" t="s">
        <v>6</v>
      </c>
      <c r="J132" s="10">
        <f>AVERAGE(J129:J131)</f>
        <v>437.3343333333334</v>
      </c>
      <c r="K132" s="10">
        <f>AVERAGE(K129:K131)</f>
        <v>0.80799999999999994</v>
      </c>
      <c r="L132" s="10">
        <f>AVERAGE(L129:L131)</f>
        <v>4.6753333333333336</v>
      </c>
    </row>
    <row r="133" spans="3:13" x14ac:dyDescent="0.3">
      <c r="C133" s="1"/>
      <c r="D133" s="1"/>
      <c r="E133" s="1"/>
      <c r="F133" s="1"/>
      <c r="I133" s="1"/>
      <c r="J133" s="1"/>
      <c r="K133" s="1"/>
      <c r="L133" s="1"/>
    </row>
    <row r="134" spans="3:13" x14ac:dyDescent="0.3">
      <c r="C134" s="4" t="s">
        <v>5</v>
      </c>
      <c r="D134" s="1">
        <v>407.64100000000002</v>
      </c>
      <c r="E134" s="1">
        <v>0.7</v>
      </c>
      <c r="F134" s="1">
        <v>13.65</v>
      </c>
      <c r="I134" s="4" t="s">
        <v>5</v>
      </c>
      <c r="J134" s="1">
        <v>392.536</v>
      </c>
      <c r="K134" s="1">
        <v>0.64400000000000002</v>
      </c>
      <c r="L134" s="1">
        <v>4.742</v>
      </c>
    </row>
    <row r="135" spans="3:13" x14ac:dyDescent="0.3">
      <c r="C135" s="1"/>
      <c r="D135" s="1">
        <v>395.029</v>
      </c>
      <c r="E135" s="1">
        <v>0.69599999999999995</v>
      </c>
      <c r="F135" s="1">
        <v>13.667</v>
      </c>
      <c r="I135" s="1"/>
      <c r="J135" s="1">
        <v>387.03500000000003</v>
      </c>
      <c r="K135" s="1">
        <v>0.65400000000000003</v>
      </c>
      <c r="L135" s="1">
        <v>4.8310000000000004</v>
      </c>
    </row>
    <row r="136" spans="3:13" x14ac:dyDescent="0.3">
      <c r="D136" s="1">
        <v>386.84300000000002</v>
      </c>
      <c r="E136" s="1">
        <v>0.72599999999999998</v>
      </c>
      <c r="F136" s="1">
        <v>12.53</v>
      </c>
      <c r="J136" s="1">
        <v>390.72800000000001</v>
      </c>
      <c r="K136" s="1">
        <v>0.66200000000000003</v>
      </c>
      <c r="L136" s="1">
        <v>4.6269999999999998</v>
      </c>
    </row>
    <row r="137" spans="3:13" x14ac:dyDescent="0.3">
      <c r="C137" s="6" t="s">
        <v>6</v>
      </c>
      <c r="D137" s="10">
        <f>AVERAGE(D134:D136)</f>
        <v>396.50433333333336</v>
      </c>
      <c r="E137" s="10">
        <f>AVERAGE(E134:E136)</f>
        <v>0.70733333333333326</v>
      </c>
      <c r="F137" s="10">
        <f>AVERAGE(F134:F136)</f>
        <v>13.282333333333334</v>
      </c>
      <c r="I137" s="6" t="s">
        <v>6</v>
      </c>
      <c r="J137" s="10">
        <f>AVERAGE(J134:J136)</f>
        <v>390.09966666666668</v>
      </c>
      <c r="K137" s="10">
        <f>AVERAGE(K134:K136)</f>
        <v>0.65333333333333332</v>
      </c>
      <c r="L137" s="10">
        <f>AVERAGE(L134:L136)</f>
        <v>4.7333333333333334</v>
      </c>
    </row>
    <row r="138" spans="3:13" x14ac:dyDescent="0.3">
      <c r="C138" s="1"/>
      <c r="D138" s="1"/>
      <c r="E138" s="1"/>
      <c r="F138" s="1"/>
      <c r="I138" s="1"/>
      <c r="J138" s="1"/>
      <c r="K138" s="1"/>
      <c r="L138" s="1"/>
    </row>
    <row r="139" spans="3:13" x14ac:dyDescent="0.3">
      <c r="C139" s="4" t="s">
        <v>7</v>
      </c>
      <c r="D139" s="1">
        <v>193.70699999999999</v>
      </c>
      <c r="E139" s="1">
        <v>0.82699999999999996</v>
      </c>
      <c r="F139" s="1">
        <v>8.5190000000000001</v>
      </c>
      <c r="I139" s="4" t="s">
        <v>7</v>
      </c>
      <c r="J139" s="1">
        <v>190.92500000000001</v>
      </c>
      <c r="K139" s="1">
        <v>0.754</v>
      </c>
      <c r="L139" s="1">
        <v>3.4969999999999999</v>
      </c>
    </row>
    <row r="140" spans="3:13" x14ac:dyDescent="0.3">
      <c r="C140" s="1"/>
      <c r="D140" s="1">
        <v>188.90600000000001</v>
      </c>
      <c r="E140" s="1">
        <v>0.83199999999999996</v>
      </c>
      <c r="F140" s="1">
        <v>9.1020000000000003</v>
      </c>
      <c r="I140" s="1"/>
      <c r="J140" s="1">
        <v>203.43</v>
      </c>
      <c r="K140" s="1">
        <v>0.85</v>
      </c>
      <c r="L140" s="1">
        <v>3.7890000000000001</v>
      </c>
    </row>
    <row r="141" spans="3:13" x14ac:dyDescent="0.3">
      <c r="D141" s="1">
        <v>191.01599999999999</v>
      </c>
      <c r="E141" s="1">
        <v>0.84199999999999997</v>
      </c>
      <c r="F141" s="1">
        <v>10.834</v>
      </c>
      <c r="J141" s="1">
        <v>223.86099999999999</v>
      </c>
      <c r="K141" s="1">
        <v>0.85299999999999998</v>
      </c>
      <c r="L141" s="1">
        <v>3.528</v>
      </c>
    </row>
    <row r="142" spans="3:13" x14ac:dyDescent="0.3">
      <c r="C142" s="6" t="s">
        <v>6</v>
      </c>
      <c r="D142" s="10">
        <f>AVERAGE(D139:D141)</f>
        <v>191.20966666666666</v>
      </c>
      <c r="E142" s="10">
        <f>AVERAGE(E139:E141)</f>
        <v>0.83366666666666667</v>
      </c>
      <c r="F142" s="10">
        <f>AVERAGE(F139:F141)</f>
        <v>9.4850000000000012</v>
      </c>
      <c r="I142" s="6" t="s">
        <v>6</v>
      </c>
      <c r="J142" s="10">
        <f>AVERAGE(J139:J141)</f>
        <v>206.072</v>
      </c>
      <c r="K142" s="10">
        <f>AVERAGE(K139:K141)</f>
        <v>0.81899999999999995</v>
      </c>
      <c r="L142" s="10">
        <f>AVERAGE(L139:L141)</f>
        <v>3.6046666666666667</v>
      </c>
    </row>
    <row r="143" spans="3:13" x14ac:dyDescent="0.3">
      <c r="D143" s="1"/>
      <c r="E143" s="1"/>
      <c r="F143" s="1"/>
      <c r="J143" s="1"/>
      <c r="K143" s="1"/>
      <c r="L143" s="1"/>
    </row>
    <row r="144" spans="3:13" x14ac:dyDescent="0.3">
      <c r="C144" s="4" t="s">
        <v>8</v>
      </c>
      <c r="D144" s="1">
        <v>129.22800000000001</v>
      </c>
      <c r="E144" s="1">
        <v>0.80400000000000005</v>
      </c>
      <c r="F144" s="1">
        <v>9.81</v>
      </c>
      <c r="G144" t="s">
        <v>10</v>
      </c>
      <c r="I144" s="4" t="s">
        <v>8</v>
      </c>
      <c r="J144" s="1">
        <v>153.77799999999999</v>
      </c>
      <c r="K144" s="1">
        <v>0.78300000000000003</v>
      </c>
      <c r="L144" s="1">
        <v>3.9239999999999999</v>
      </c>
      <c r="M144" t="s">
        <v>10</v>
      </c>
    </row>
    <row r="145" spans="3:13" x14ac:dyDescent="0.3">
      <c r="D145" s="1">
        <v>122.191</v>
      </c>
      <c r="E145" s="1">
        <v>0.79800000000000004</v>
      </c>
      <c r="F145" s="1">
        <v>10.103</v>
      </c>
      <c r="J145" s="1">
        <v>154.03200000000001</v>
      </c>
      <c r="K145" s="1">
        <v>0.60599999999999998</v>
      </c>
      <c r="L145" s="1">
        <v>4.6500000000000004</v>
      </c>
    </row>
    <row r="146" spans="3:13" x14ac:dyDescent="0.3">
      <c r="D146" s="1">
        <v>121.637</v>
      </c>
      <c r="E146" s="1">
        <v>0.77900000000000003</v>
      </c>
      <c r="F146" s="1">
        <v>9.3460000000000001</v>
      </c>
      <c r="J146" s="1">
        <v>140.602</v>
      </c>
      <c r="K146" s="1">
        <v>0.80500000000000005</v>
      </c>
      <c r="L146" s="1">
        <v>4.3499999999999996</v>
      </c>
    </row>
    <row r="147" spans="3:13" x14ac:dyDescent="0.3">
      <c r="C147" s="6" t="s">
        <v>6</v>
      </c>
      <c r="D147" s="10">
        <f>AVERAGE(D144:D146)</f>
        <v>124.35200000000002</v>
      </c>
      <c r="E147" s="10">
        <f>AVERAGE(E144:E146)</f>
        <v>0.79366666666666674</v>
      </c>
      <c r="F147" s="10">
        <f>AVERAGE(F144:F146)</f>
        <v>9.7530000000000001</v>
      </c>
      <c r="I147" s="6" t="s">
        <v>6</v>
      </c>
      <c r="J147" s="10">
        <f>AVERAGE(J144:J146)</f>
        <v>149.47066666666669</v>
      </c>
      <c r="K147" s="10">
        <f>AVERAGE(K144:K146)</f>
        <v>0.73133333333333328</v>
      </c>
      <c r="L147" s="10">
        <f>AVERAGE(L144:L146)</f>
        <v>4.3079999999999998</v>
      </c>
    </row>
    <row r="148" spans="3:13" x14ac:dyDescent="0.3">
      <c r="D148" s="1"/>
      <c r="E148" s="1"/>
      <c r="F148" s="1"/>
      <c r="J148" s="1"/>
      <c r="K148" s="1"/>
      <c r="L148" s="1"/>
    </row>
    <row r="149" spans="3:13" x14ac:dyDescent="0.3">
      <c r="C149" s="4" t="s">
        <v>9</v>
      </c>
      <c r="D149" s="1">
        <v>95.245999999999995</v>
      </c>
      <c r="E149" s="1">
        <v>0.82299999999999995</v>
      </c>
      <c r="F149" s="1">
        <v>11.143000000000001</v>
      </c>
      <c r="G149" t="s">
        <v>31</v>
      </c>
      <c r="I149" s="4" t="s">
        <v>9</v>
      </c>
      <c r="J149" s="1">
        <v>145.44900000000001</v>
      </c>
      <c r="K149" s="1">
        <v>0.90600000000000003</v>
      </c>
      <c r="L149" s="1">
        <v>4.351</v>
      </c>
      <c r="M149" t="s">
        <v>32</v>
      </c>
    </row>
    <row r="150" spans="3:13" x14ac:dyDescent="0.3">
      <c r="D150" s="1">
        <v>109.251</v>
      </c>
      <c r="E150" s="1">
        <v>0.78</v>
      </c>
      <c r="F150" s="1">
        <v>11.654999999999999</v>
      </c>
      <c r="J150" s="1">
        <v>151.376</v>
      </c>
      <c r="K150" s="1">
        <v>0.78300000000000003</v>
      </c>
      <c r="L150" s="1">
        <v>3.214</v>
      </c>
    </row>
    <row r="151" spans="3:13" x14ac:dyDescent="0.3">
      <c r="D151" s="1">
        <v>99.643000000000001</v>
      </c>
      <c r="E151" s="1">
        <v>0.82199999999999995</v>
      </c>
      <c r="F151" s="1">
        <v>10.656000000000001</v>
      </c>
      <c r="J151" s="1">
        <v>172.18600000000001</v>
      </c>
      <c r="K151" s="1">
        <v>0.79500000000000004</v>
      </c>
      <c r="L151" s="1">
        <v>3.5310000000000001</v>
      </c>
    </row>
    <row r="152" spans="3:13" x14ac:dyDescent="0.3">
      <c r="C152" s="6" t="s">
        <v>6</v>
      </c>
      <c r="D152" s="10">
        <f>AVERAGE(D149:D151)</f>
        <v>101.38</v>
      </c>
      <c r="E152" s="10">
        <f>AVERAGE(E149:E151)</f>
        <v>0.80833333333333324</v>
      </c>
      <c r="F152" s="10">
        <f>AVERAGE(F149:F151)</f>
        <v>11.151333333333334</v>
      </c>
      <c r="I152" s="6" t="s">
        <v>6</v>
      </c>
      <c r="J152" s="10">
        <f>AVERAGE(J149:J151)</f>
        <v>156.33700000000002</v>
      </c>
      <c r="K152" s="10">
        <f>AVERAGE(K149:K151)</f>
        <v>0.82799999999999996</v>
      </c>
      <c r="L152" s="10">
        <f>AVERAGE(L149:L151)</f>
        <v>3.6986666666666665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Cardeñosa Borrego</dc:creator>
  <cp:lastModifiedBy>Juan Manuel Cardenosa Borrego</cp:lastModifiedBy>
  <dcterms:created xsi:type="dcterms:W3CDTF">2015-06-05T18:19:34Z</dcterms:created>
  <dcterms:modified xsi:type="dcterms:W3CDTF">2025-06-07T16:21:14Z</dcterms:modified>
</cp:coreProperties>
</file>